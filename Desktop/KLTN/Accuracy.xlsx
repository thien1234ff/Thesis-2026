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<sst xmlns="http://schemas.openxmlformats.org/spreadsheetml/2006/main" count="36" uniqueCount="36">
  <si>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Settings</t>
  </si>
  <si>
    <t>Loss</t>
  </si>
  <si>
    <t>Lần 1</t>
  </si>
  <si>
    <t>Lần 2</t>
  </si>
  <si>
    <t>Lần 3</t>
  </si>
  <si>
    <t>Acc</t>
  </si>
  <si>
    <t>std</t>
  </si>
  <si>
    <t>#params</t>
  </si>
  <si>
    <t>Model size (MB)</t>
  </si>
  <si>
    <t>F32 (teacher)</t>
  </si>
  <si>
    <t>Lượng tử hóa từ mô hình F32</t>
  </si>
  <si>
    <t>(QAT) Q16</t>
  </si>
  <si>
    <t>(QAT) Q8</t>
  </si>
  <si>
    <t>(QAT) Q6</t>
  </si>
  <si>
    <t>(QAT) Q4</t>
  </si>
  <si>
    <t>Lượng tử hóa từ mô hình F32 và áp dụng KD với SynData (GAN)</t>
  </si>
  <si>
    <t>(QAT) Q16 + KD</t>
  </si>
  <si>
    <t>(QAT) Q8 + KD</t>
  </si>
  <si>
    <t>(QAT) Q6 + KD</t>
  </si>
  <si>
    <t>(QAT) Q4 + KD</t>
  </si>
  <si>
    <t>Huấn luyện từ đầu (CIFAR-10)</t>
  </si>
  <si>
    <t>(OriData) Q16</t>
  </si>
  <si>
    <t>(OriData) Q8</t>
  </si>
  <si>
    <t>(OriData) Q6</t>
  </si>
  <si>
    <t>(OriData) Q4</t>
  </si>
  <si>
    <t>Huấn luyện từ đầu (CIFAR-10) và áp dụng KD</t>
  </si>
  <si>
    <t>(OriData) Q16 + KD</t>
  </si>
  <si>
    <t>(OriData) Q8 + KD</t>
  </si>
  <si>
    <t>(OriData) Q6 + KD</t>
  </si>
  <si>
    <t>(OriData) Q4 + KD</t>
  </si>
  <si>
    <t xml:space="preserve"> </t>
  </si>
  <si>
    <t>Huấn luyện áp dụng trực tiếp KD với SynData (GAN)</t>
  </si>
  <si>
    <t>(randParams) Q16 + KD</t>
  </si>
  <si>
    <t>(randParams) Q8 + KD</t>
  </si>
  <si>
    <t>(randParams) Q6 + KD</t>
  </si>
  <si>
    <t>(randParams) Q4 + KD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</si>
</sst>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_ "/>
  </numFmts>
  <fonts count="23">
    <font>
      <sz val="11"/>
      <color theme="1"/>
      <name val="Calibri"/>
      <charset val="134"/>
      <scheme val="minor"/>
    </font>
    <font>
      <b/>
      <sz val="14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13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 wrapText="1"/>
    </xf>
    <xf numFmtId="179" fontId="3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179" fontId="3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79" fontId="2" fillId="9" borderId="1" xfId="0" applyNumberFormat="1" applyFont="1" applyFill="1" applyBorder="1" applyAlignment="1">
      <alignment horizontal="center" vertical="center" wrapText="1"/>
    </xf>
    <xf numFmtId="179" fontId="3" fillId="9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1:T36"/>
  <sheetViews>
    <sheetView tabSelected="1" zoomScale="70" zoomScaleNormal="70" topLeftCell="A23" workbookViewId="0">
      <selection activeCell="I36" sqref="I36:Q36"/>
    </sheetView>
  </sheetViews>
  <sheetFormatPr defaultColWidth="8.88888888888889" defaultRowHeight="14.4"/>
  <cols>
    <col min="9" max="9" width="18.0833333333333" customWidth="1"/>
    <col min="14" max="15" width="15.6666666666667"/>
    <col min="16" max="16" width="13.3333333333333" customWidth="1"/>
    <col min="17" max="17" width="9.11111111111111"/>
  </cols>
  <sheetData>
    <row r="1" customHeight="1"/>
    <row r="4" customHeight="1"/>
    <row r="8" ht="15.15"/>
    <row r="9" ht="27" customHeight="1" spans="9:17">
      <c r="I9" s="1" t="s">
        <v>0</v>
      </c>
      <c r="J9" s="1" t="s">
        <v>1</v>
      </c>
      <c r="K9" s="2" t="s">
        <v>2</v>
      </c>
      <c r="L9" s="2" t="s">
        <v>3</v>
      </c>
      <c r="M9" s="2" t="s">
        <v>4</v>
      </c>
      <c r="N9" s="2" t="s">
        <v>5</v>
      </c>
      <c r="O9" s="1" t="s">
        <v>6</v>
      </c>
      <c r="P9" s="1" t="s">
        <v>7</v>
      </c>
      <c r="Q9" s="1" t="s">
        <v>8</v>
      </c>
    </row>
    <row r="10" ht="15.15" spans="9:17">
      <c r="I10" s="1"/>
      <c r="J10" s="1"/>
      <c r="K10" s="3"/>
      <c r="L10" s="3"/>
      <c r="M10" s="3"/>
      <c r="N10" s="3"/>
      <c r="O10" s="1"/>
      <c r="P10" s="1"/>
      <c r="Q10" s="1"/>
    </row>
    <row r="11" ht="18.75" spans="9:17">
      <c r="I11" s="4" t="s">
        <v>9</v>
      </c>
      <c r="J11" s="5"/>
      <c r="K11" s="4">
        <v>83.4</v>
      </c>
      <c r="L11" s="4">
        <v>82.46</v>
      </c>
      <c r="M11" s="4">
        <v>83.52</v>
      </c>
      <c r="N11" s="4">
        <v>83.4</v>
      </c>
      <c r="O11" s="6">
        <f>_xlfn.STDEV.S(K11:M11)</f>
        <v>0.580459588027743</v>
      </c>
      <c r="P11" s="4">
        <v>24030730</v>
      </c>
      <c r="Q11" s="4">
        <v>91.67</v>
      </c>
    </row>
    <row r="12" ht="23" customHeight="1" spans="9:17">
      <c r="I12" s="7" t="s">
        <v>10</v>
      </c>
      <c r="J12" s="7"/>
      <c r="K12" s="7"/>
      <c r="L12" s="7"/>
      <c r="M12" s="7"/>
      <c r="N12" s="7"/>
      <c r="O12" s="7"/>
      <c r="P12" s="7"/>
      <c r="Q12" s="7"/>
    </row>
    <row r="13" ht="18.75" spans="9:17">
      <c r="I13" s="8" t="s">
        <v>11</v>
      </c>
      <c r="J13" s="9"/>
      <c r="K13" s="8">
        <v>8.27</v>
      </c>
      <c r="L13" s="8">
        <v>9.99</v>
      </c>
      <c r="M13" s="8">
        <v>9.71</v>
      </c>
      <c r="N13" s="8">
        <v>8.27</v>
      </c>
      <c r="O13" s="10">
        <f>_xlfn.STDEV.S(K13:M13)</f>
        <v>0.922893998969185</v>
      </c>
      <c r="P13" s="8">
        <v>24030730</v>
      </c>
      <c r="Q13" s="8">
        <v>45.83</v>
      </c>
    </row>
    <row r="14" ht="29.1" customHeight="1" spans="9:17">
      <c r="I14" s="8" t="s">
        <v>12</v>
      </c>
      <c r="J14" s="9"/>
      <c r="K14" s="8">
        <v>10.59</v>
      </c>
      <c r="L14" s="8">
        <v>13.59</v>
      </c>
      <c r="M14" s="8">
        <v>10.25</v>
      </c>
      <c r="N14" s="8">
        <v>10.59</v>
      </c>
      <c r="O14" s="10">
        <f>_xlfn.STDEV.S(K14:M14)</f>
        <v>1.83807870705618</v>
      </c>
      <c r="P14" s="8">
        <v>24030730</v>
      </c>
      <c r="Q14" s="8">
        <v>22.92</v>
      </c>
    </row>
    <row r="15" ht="18.75" spans="9:17">
      <c r="I15" s="8" t="s">
        <v>13</v>
      </c>
      <c r="J15" s="9"/>
      <c r="K15" s="8">
        <v>10.75</v>
      </c>
      <c r="L15" s="8">
        <v>10.98</v>
      </c>
      <c r="M15" s="8">
        <v>7.86</v>
      </c>
      <c r="N15" s="8">
        <v>10.75</v>
      </c>
      <c r="O15" s="10">
        <f>_xlfn.STDEV.S(K15:M15)</f>
        <v>1.73874475795999</v>
      </c>
      <c r="P15" s="8">
        <v>24030730</v>
      </c>
      <c r="Q15" s="8">
        <v>17.19</v>
      </c>
    </row>
    <row r="16" ht="18.75" spans="9:17">
      <c r="I16" s="8" t="s">
        <v>14</v>
      </c>
      <c r="J16" s="9"/>
      <c r="K16" s="8">
        <v>10.61</v>
      </c>
      <c r="L16" s="8">
        <v>8.87</v>
      </c>
      <c r="M16" s="8">
        <v>10.62</v>
      </c>
      <c r="N16" s="8">
        <v>10.61</v>
      </c>
      <c r="O16" s="10">
        <f>_xlfn.STDEV.S(K16:M16)</f>
        <v>1.00748862690024</v>
      </c>
      <c r="P16" s="8">
        <v>24030730</v>
      </c>
      <c r="Q16" s="8">
        <v>11.46</v>
      </c>
    </row>
    <row r="17" ht="34" customHeight="1" spans="9:17">
      <c r="I17" s="11" t="s">
        <v>15</v>
      </c>
      <c r="J17" s="11"/>
      <c r="K17" s="11"/>
      <c r="L17" s="11"/>
      <c r="M17" s="11"/>
      <c r="N17" s="11"/>
      <c r="O17" s="11"/>
      <c r="P17" s="11"/>
      <c r="Q17" s="11"/>
    </row>
    <row r="18" ht="36.75" spans="9:17">
      <c r="I18" s="12" t="s">
        <v>16</v>
      </c>
      <c r="J18" s="13"/>
      <c r="K18" s="12">
        <v>83.28</v>
      </c>
      <c r="L18" s="12">
        <v>83.45</v>
      </c>
      <c r="M18" s="12">
        <v>83.1</v>
      </c>
      <c r="N18" s="14">
        <f>AVERAGE(K18:M18)</f>
        <v>83.2766666666667</v>
      </c>
      <c r="O18" s="15">
        <f>_xlfn.STDEV.S(K18:M18)</f>
        <v>0.175023807904339</v>
      </c>
      <c r="P18" s="12">
        <v>24030730</v>
      </c>
      <c r="Q18" s="8">
        <v>45.83</v>
      </c>
    </row>
    <row r="19" ht="29.1" customHeight="1" spans="9:17">
      <c r="I19" s="12" t="s">
        <v>17</v>
      </c>
      <c r="J19" s="13"/>
      <c r="K19" s="12">
        <v>82.53</v>
      </c>
      <c r="L19" s="12">
        <v>83.52</v>
      </c>
      <c r="M19" s="12">
        <v>82.22</v>
      </c>
      <c r="N19" s="14">
        <f>AVERAGE(K19:M19)</f>
        <v>82.7566666666667</v>
      </c>
      <c r="O19" s="15">
        <f>_xlfn.STDEV.S(K19:M19)</f>
        <v>0.678994354419336</v>
      </c>
      <c r="P19" s="12">
        <v>24030730</v>
      </c>
      <c r="Q19" s="8">
        <v>22.92</v>
      </c>
    </row>
    <row r="20" ht="27" customHeight="1" spans="9:17">
      <c r="I20" s="12" t="s">
        <v>18</v>
      </c>
      <c r="J20" s="13"/>
      <c r="K20" s="12">
        <v>82.48</v>
      </c>
      <c r="L20" s="12">
        <v>82.61</v>
      </c>
      <c r="M20" s="12">
        <v>82.6</v>
      </c>
      <c r="N20" s="14">
        <f>AVERAGE(K20:M20)</f>
        <v>82.5633333333333</v>
      </c>
      <c r="O20" s="15">
        <f>_xlfn.STDEV.S(K20:M20)</f>
        <v>0.0723417813806984</v>
      </c>
      <c r="P20" s="12">
        <v>24030730</v>
      </c>
      <c r="Q20" s="8">
        <v>17.19</v>
      </c>
    </row>
    <row r="21" ht="28" customHeight="1" spans="9:17">
      <c r="I21" s="12" t="s">
        <v>19</v>
      </c>
      <c r="J21" s="13"/>
      <c r="K21" s="12">
        <v>81.64</v>
      </c>
      <c r="L21" s="12">
        <v>82.03</v>
      </c>
      <c r="M21" s="12">
        <v>80.89</v>
      </c>
      <c r="N21" s="14">
        <f>AVERAGE(K21:M21)</f>
        <v>81.52</v>
      </c>
      <c r="O21" s="15">
        <f>_xlfn.STDEV.S(K21:M21)</f>
        <v>0.579396237474839</v>
      </c>
      <c r="P21" s="12">
        <v>24030730</v>
      </c>
      <c r="Q21" s="8">
        <v>11.46</v>
      </c>
    </row>
    <row r="22" ht="40" customHeight="1" spans="9:17">
      <c r="I22" s="16" t="s">
        <v>20</v>
      </c>
      <c r="J22" s="16"/>
      <c r="K22" s="16"/>
      <c r="L22" s="16"/>
      <c r="M22" s="16"/>
      <c r="N22" s="16"/>
      <c r="O22" s="16"/>
      <c r="P22" s="16"/>
      <c r="Q22" s="16"/>
    </row>
    <row r="23" ht="18.75" spans="9:17">
      <c r="I23" s="17" t="s">
        <v>21</v>
      </c>
      <c r="J23" s="18"/>
      <c r="K23" s="17">
        <v>81.77</v>
      </c>
      <c r="L23" s="17">
        <v>83.36</v>
      </c>
      <c r="M23" s="17">
        <v>83.65</v>
      </c>
      <c r="N23" s="19">
        <f>AVERAGE(K23:M23)</f>
        <v>82.9266666666667</v>
      </c>
      <c r="O23" s="20">
        <f>_xlfn.STDEV.S(K23:M23)</f>
        <v>1.0121429411567</v>
      </c>
      <c r="P23" s="17">
        <v>24030730</v>
      </c>
      <c r="Q23" s="8">
        <v>45.83</v>
      </c>
    </row>
    <row r="24" ht="29.1" customHeight="1" spans="9:17">
      <c r="I24" s="17" t="s">
        <v>22</v>
      </c>
      <c r="J24" s="18"/>
      <c r="K24" s="17">
        <v>83.48</v>
      </c>
      <c r="L24" s="17">
        <v>84.21</v>
      </c>
      <c r="M24" s="17">
        <v>81.96</v>
      </c>
      <c r="N24" s="19">
        <f>AVERAGE(K24:M24)</f>
        <v>83.2166666666667</v>
      </c>
      <c r="O24" s="20">
        <f>_xlfn.STDEV.S(K24:M24)</f>
        <v>1.14788210776775</v>
      </c>
      <c r="P24" s="17">
        <v>24030730</v>
      </c>
      <c r="Q24" s="8">
        <v>22.92</v>
      </c>
    </row>
    <row r="25" ht="18.75" spans="9:17">
      <c r="I25" s="17" t="s">
        <v>23</v>
      </c>
      <c r="J25" s="18"/>
      <c r="K25" s="17">
        <v>83.15</v>
      </c>
      <c r="L25" s="17">
        <v>83.05</v>
      </c>
      <c r="M25" s="17">
        <v>82.69</v>
      </c>
      <c r="N25" s="19">
        <f>AVERAGE(K25:M25)</f>
        <v>82.9633333333333</v>
      </c>
      <c r="O25" s="20">
        <f>_xlfn.STDEV.S(K25:M25)</f>
        <v>0.241936630821657</v>
      </c>
      <c r="P25" s="17">
        <v>24030730</v>
      </c>
      <c r="Q25" s="8">
        <v>17.19</v>
      </c>
    </row>
    <row r="26" ht="18.75" spans="9:17">
      <c r="I26" s="17" t="s">
        <v>24</v>
      </c>
      <c r="J26" s="18"/>
      <c r="K26" s="17">
        <v>82.44</v>
      </c>
      <c r="L26" s="17">
        <v>81.84</v>
      </c>
      <c r="M26" s="17">
        <v>81.73</v>
      </c>
      <c r="N26" s="19">
        <f>AVERAGE(K26:M26)</f>
        <v>82.0033333333333</v>
      </c>
      <c r="O26" s="20">
        <f>_xlfn.STDEV.S(K26:M26)</f>
        <v>0.382143079661703</v>
      </c>
      <c r="P26" s="17">
        <v>24030730</v>
      </c>
      <c r="Q26" s="8">
        <v>11.46</v>
      </c>
    </row>
    <row r="27" ht="35" customHeight="1" spans="9:17">
      <c r="I27" s="21" t="s">
        <v>25</v>
      </c>
      <c r="J27" s="21"/>
      <c r="K27" s="21"/>
      <c r="L27" s="21"/>
      <c r="M27" s="21"/>
      <c r="N27" s="21"/>
      <c r="O27" s="21"/>
      <c r="P27" s="21"/>
      <c r="Q27" s="21"/>
    </row>
    <row r="28" ht="36.75" spans="9:17">
      <c r="I28" s="22" t="s">
        <v>26</v>
      </c>
      <c r="J28" s="23"/>
      <c r="K28" s="22">
        <v>84.34</v>
      </c>
      <c r="L28" s="22">
        <v>84.5</v>
      </c>
      <c r="M28" s="22">
        <v>84.65</v>
      </c>
      <c r="N28" s="22">
        <v>84.34</v>
      </c>
      <c r="O28" s="24">
        <f>_xlfn.STDEV.S(K28:M28)</f>
        <v>0.155026879389781</v>
      </c>
      <c r="P28" s="22">
        <v>24030730</v>
      </c>
      <c r="Q28" s="8">
        <v>45.83</v>
      </c>
    </row>
    <row r="29" ht="36.75" spans="9:17">
      <c r="I29" s="22" t="s">
        <v>27</v>
      </c>
      <c r="J29" s="23"/>
      <c r="K29" s="22">
        <v>84.06</v>
      </c>
      <c r="L29" s="22">
        <v>84.48</v>
      </c>
      <c r="M29" s="22">
        <v>84.86</v>
      </c>
      <c r="N29" s="22">
        <v>84.06</v>
      </c>
      <c r="O29" s="24">
        <f>_xlfn.STDEV.S(K29:M29)</f>
        <v>0.400166631958903</v>
      </c>
      <c r="P29" s="22">
        <v>24030730</v>
      </c>
      <c r="Q29" s="8">
        <v>22.92</v>
      </c>
    </row>
    <row r="30" ht="36.75" spans="9:17">
      <c r="I30" s="22" t="s">
        <v>28</v>
      </c>
      <c r="J30" s="23"/>
      <c r="K30" s="22">
        <v>84.09</v>
      </c>
      <c r="L30" s="22">
        <v>83.77</v>
      </c>
      <c r="M30" s="22">
        <v>84.57</v>
      </c>
      <c r="N30" s="22">
        <v>84.09</v>
      </c>
      <c r="O30" s="24">
        <f>_xlfn.STDEV.S(K30:M30)</f>
        <v>0.402657836547771</v>
      </c>
      <c r="P30" s="22">
        <v>24030730</v>
      </c>
      <c r="Q30" s="8">
        <v>17.19</v>
      </c>
    </row>
    <row r="31" ht="36.75" spans="9:20">
      <c r="I31" s="22" t="s">
        <v>29</v>
      </c>
      <c r="J31" s="23"/>
      <c r="K31" s="22">
        <v>82.09</v>
      </c>
      <c r="L31" s="22">
        <v>83.34</v>
      </c>
      <c r="M31" s="22">
        <v>83.21</v>
      </c>
      <c r="N31" s="22">
        <v>82.09</v>
      </c>
      <c r="O31" s="24">
        <f>_xlfn.STDEV.S(K31:M31)</f>
        <v>0.687240860252064</v>
      </c>
      <c r="P31" s="22">
        <v>24030730</v>
      </c>
      <c r="Q31" s="8">
        <v>11.46</v>
      </c>
      <c r="T31" t="s">
        <v>30</v>
      </c>
    </row>
    <row r="32" ht="49" customHeight="1" spans="9:17">
      <c r="I32" s="7" t="s">
        <v>31</v>
      </c>
      <c r="J32" s="7"/>
      <c r="K32" s="7"/>
      <c r="L32" s="7"/>
      <c r="M32" s="7"/>
      <c r="N32" s="7"/>
      <c r="O32" s="7"/>
      <c r="P32" s="7"/>
      <c r="Q32" s="7"/>
    </row>
    <row r="33" ht="36.75" spans="9:17">
      <c r="I33" s="8" t="s">
        <v>32</v>
      </c>
      <c r="J33" s="25"/>
      <c r="K33" s="26">
        <v>83.54</v>
      </c>
      <c r="L33" s="26">
        <v>82.88</v>
      </c>
      <c r="M33" s="26">
        <v>83.32</v>
      </c>
      <c r="N33" s="27">
        <f>AVERAGE(K33:M33)</f>
        <v>83.2466666666667</v>
      </c>
      <c r="O33" s="28">
        <f>_xlfn.STDEV.S(K33:M33)</f>
        <v>0.336055550963433</v>
      </c>
      <c r="P33" s="26">
        <v>24030730</v>
      </c>
      <c r="Q33" s="8">
        <v>45.83</v>
      </c>
    </row>
    <row r="34" ht="36.75" spans="9:17">
      <c r="I34" s="8" t="s">
        <v>33</v>
      </c>
      <c r="J34" s="25"/>
      <c r="K34" s="26">
        <v>82.88</v>
      </c>
      <c r="L34" s="26">
        <v>82.61</v>
      </c>
      <c r="M34" s="26">
        <v>83.21</v>
      </c>
      <c r="N34" s="27">
        <f>AVERAGE(K34:M34)</f>
        <v>82.9</v>
      </c>
      <c r="O34" s="28">
        <f>_xlfn.STDEV.S(K34:M34)</f>
        <v>0.300499584026332</v>
      </c>
      <c r="P34" s="26">
        <v>24030730</v>
      </c>
      <c r="Q34" s="8">
        <v>22.92</v>
      </c>
    </row>
    <row r="35" ht="36.75" spans="9:17">
      <c r="I35" s="8" t="s">
        <v>34</v>
      </c>
      <c r="J35" s="25"/>
      <c r="K35" s="26">
        <v>82.88</v>
      </c>
      <c r="L35" s="26">
        <v>81.79</v>
      </c>
      <c r="M35" s="26">
        <v>82.72</v>
      </c>
      <c r="N35" s="27">
        <f>AVERAGE(K35:M35)</f>
        <v>82.4633333333333</v>
      </c>
      <c r="O35" s="28">
        <f>_xlfn.STDEV.S(K35:M35)</f>
        <v>0.588585875920691</v>
      </c>
      <c r="P35" s="26">
        <v>24030730</v>
      </c>
      <c r="Q35" s="8">
        <v>17.19</v>
      </c>
    </row>
    <row r="36" ht="36.75" spans="9:17">
      <c r="I36" s="8" t="s">
        <v>35</v>
      </c>
      <c r="J36" s="25"/>
      <c r="K36" s="26">
        <v>81.19</v>
      </c>
      <c r="L36" s="26">
        <v>81.48</v>
      </c>
      <c r="M36" s="26">
        <v>81.93</v>
      </c>
      <c r="N36" s="27">
        <f>AVERAGE(K36:M36)</f>
        <v>81.5333333333333</v>
      </c>
      <c r="O36" s="28">
        <f>_xlfn.STDEV.S(K36:M36)</f>
        <v>0.372871738448138</v>
      </c>
      <c r="P36" s="26">
        <v>24030730</v>
      </c>
      <c r="Q36" s="8">
        <v>11.46</v>
      </c>
    </row>
  </sheetData>
  <mergeCells count="14">
    <mergeCell ref="I12:Q12"/>
    <mergeCell ref="I17:Q17"/>
    <mergeCell ref="I22:Q22"/>
    <mergeCell ref="I27:Q27"/>
    <mergeCell ref="I32:Q32"/>
    <mergeCell ref="I9:I10"/>
    <mergeCell ref="J9:J10"/>
    <mergeCell ref="K9:K10"/>
    <mergeCell ref="L9:L10"/>
    <mergeCell ref="M9:M10"/>
    <mergeCell ref="N9:N10"/>
    <mergeCell ref="O9:O10"/>
    <mergeCell ref="P9:P10"/>
    <mergeCell ref="Q9:Q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WPS_1685537257</cp:lastModifiedBy>
  <dcterms:created xsi:type="dcterms:W3CDTF">2025-10-21T01:55:00Z</dcterms:created>
  <dcterms:modified xsi:type="dcterms:W3CDTF">2025-10-28T16:09:58Z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08374C03731E4F36BEA9AE6994A42C40_11</vt:lpwstr>
  </property>
  <property fmtid="{D5CDD505-2E9C-101B-9397-08002B2CF9AE}" pid="3" name="KSOProductBuildVer">
    <vt:lpwstr>1033-12.2.0.23131</vt:lpwstr>
  </property>
</Properties>
</file>